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5f4276acb7b44bd" /></Relationships>
</file>

<file path=xl/workbook.xml><?xml version="1.0" encoding="utf-8"?>
<x:workbook xmlns:x="http://schemas.openxmlformats.org/spreadsheetml/2006/main">
  <x:sheets>
    <x:sheet xmlns:r="http://schemas.openxmlformats.org/officeDocument/2006/relationships" name="Test_case_L01" sheetId="1" r:id="R193747f637a44d6e"/>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dd/mm/yyyy"/>
  </x:numFmts>
  <x:fonts count="5">
    <x:font>
      <x:sz val="11"/>
      <x:name val="Carlito"/>
    </x:font>
    <x:font>
      <x:b/>
      <x:sz val="16"/>
      <x:color rgb="FF17334D"/>
      <x:name val="Arial"/>
    </x:font>
    <x:font>
      <x:sz val="11"/>
      <x:color rgb="FF25384A"/>
      <x:name val="Arial"/>
    </x:font>
    <x:font>
      <x:b/>
      <x:sz val="11"/>
      <x:color rgb="FFFFFFFF"/>
      <x:name val="Arial"/>
    </x:font>
    <x:font>
      <x:b/>
      <x:sz val="11"/>
      <x:color rgb="FF25384A"/>
      <x:name val="Arial"/>
    </x:font>
  </x:fonts>
  <x:fills count="4">
    <x:fill>
      <x:patternFill patternType="none"/>
    </x:fill>
    <x:fill>
      <x:patternFill patternType="gray125"/>
    </x:fill>
    <x:fill>
      <x:patternFill patternType="solid">
        <x:fgColor rgb="FF243F57"/>
      </x:patternFill>
    </x:fill>
    <x:fill>
      <x:patternFill patternType="solid">
        <x:fgColor rgb="FFF3F6F9"/>
      </x:patternFill>
    </x:fill>
  </x:fills>
  <x:borders count="2">
    <x:border/>
    <x:border>
      <x:bottom style="thin">
        <x:color rgb="FFDFE6ED"/>
      </x:bottom>
    </x:border>
  </x:borders>
  <x:cellStyleXfs count="1">
    <x:xf numFmtId="0" fontId="0" fillId="0" borderId="0"/>
  </x:cellStyleXfs>
  <x:cellXfs count="23">
    <x:xf numFmtId="0" fontId="0" fillId="0" borderId="0" xfId="0"/>
    <x:xf numFmtId="0" fontId="1" fillId="0" borderId="0" xfId="0" applyNumberFormat="1" applyFont="1" applyFill="1" applyBorder="1"/>
    <x:xf numFmtId="200" fontId="0" fillId="0" borderId="0" xfId="0" applyNumberFormat="1" applyFont="1" applyFill="1" applyBorder="1"/>
    <x:xf numFmtId="0" fontId="2" fillId="0" borderId="0" xfId="0" applyNumberFormat="1" applyFont="1" applyFill="1" applyBorder="1"/>
    <x:xf numFmtId="200" fontId="2" fillId="0" borderId="0" xfId="0" applyNumberFormat="1" applyFont="1" applyFill="1" applyBorder="1"/>
    <x:xf numFmtId="0" fontId="2" fillId="0" borderId="0" xfId="0" applyNumberFormat="1" applyFont="1" applyFill="1" applyBorder="1" applyAlignment="1">
      <x:alignment wrapText="1"/>
    </x:xf>
    <x:xf numFmtId="20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3" fillId="2" borderId="0" xfId="0" applyNumberFormat="1" applyFont="1" applyFill="1" applyBorder="1" applyAlignment="1">
      <x:alignment vertical="center" wrapText="1"/>
    </x:xf>
    <x:xf numFmtId="0" fontId="4" fillId="0" borderId="0" xfId="0" applyNumberFormat="1" applyFont="1" applyFill="1" applyBorder="1" applyAlignment="1">
      <x:alignment vertical="top" wrapText="1"/>
    </x:xf>
    <x:xf numFmtId="0" fontId="2" fillId="0" borderId="0" xfId="0" applyNumberFormat="1" applyFont="1" applyFill="1" applyBorder="1" applyAlignment="1">
      <x:alignment horizontal="center" vertical="top" wrapText="1"/>
    </x:xf>
    <x:xf numFmtId="0" fontId="4" fillId="3"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0" xfId="0" applyNumberFormat="1" applyFont="1" applyFill="1" applyBorder="1" applyAlignment="1">
      <x:alignment horizontal="center" vertical="top" wrapText="1"/>
    </x:xf>
    <x:xf numFmtId="0" fontId="4" fillId="3" borderId="1"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1" xfId="0" applyNumberFormat="1" applyFont="1" applyFill="1" applyBorder="1" applyAlignment="1">
      <x:alignment horizontal="center" vertical="top" wrapText="1"/>
    </x:xf>
    <x:xf numFmtId="0" fontId="4" fillId="0" borderId="1" xfId="0" applyNumberFormat="1" applyFont="1" applyFill="1" applyBorder="1" applyAlignment="1">
      <x:alignment vertical="top" wrapText="1"/>
    </x:xf>
    <x:xf numFmtId="0" fontId="2" fillId="0" borderId="1" xfId="0" applyNumberFormat="1" applyFont="1" applyFill="1" applyBorder="1" applyAlignment="1">
      <x:alignment vertical="top" wrapText="1"/>
    </x:xf>
    <x:xf numFmtId="0" fontId="2" fillId="0" borderId="1" xfId="0" applyNumberFormat="1" applyFont="1" applyFill="1" applyBorder="1" applyAlignment="1">
      <x:alignment horizontal="center" vertical="top" wrapText="1"/>
    </x:xf>
    <x:xf numFmtId="0" fontId="4" fillId="0" borderId="0" xfId="0" applyNumberFormat="1" applyFont="1" applyFill="1" applyBorder="1"/>
  </x:cellXfs>
  <x:cellStyles count="1">
    <x:cellStyle name="Normal" xfId="0"/>
  </x:cellStyles>
  <x:dxfs count="4">
    <x:dxf>
      <x:font>
        <x:b/>
        <x:color rgb="FF246342"/>
      </x:font>
      <x:fill>
        <x:patternFill patternType="solid">
          <x:bgColor rgb="FFE4F2E9"/>
        </x:patternFill>
      </x:fill>
    </x:dxf>
    <x:dxf>
      <x:font>
        <x:b/>
        <x:color rgb="FFA22C42"/>
      </x:font>
      <x:fill>
        <x:patternFill patternType="solid">
          <x:bgColor rgb="FFFCE5E7"/>
        </x:patternFill>
      </x:fill>
    </x:dxf>
    <x:dxf>
      <x:font>
        <x:b/>
        <x:color rgb="FF825A14"/>
      </x:font>
      <x:fill>
        <x:patternFill patternType="solid">
          <x:bgColor rgb="FFFFF0D0"/>
        </x:patternFill>
      </x:fill>
    </x:dxf>
    <x:dxf>
      <x:font>
        <x:b/>
        <x:color rgb="FF5F7082"/>
      </x:font>
      <x:fill>
        <x:patternFill patternType="solid">
          <x:bgColor rgb="FFEAEFF4"/>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96e6aaabef24d63" /><Relationship Type="http://schemas.openxmlformats.org/officeDocument/2006/relationships/theme" Target="/xl/theme/theme1.xml" Id="R6c08ce29a0e24090" /><Relationship Type="http://schemas.openxmlformats.org/officeDocument/2006/relationships/sharedStrings" Target="/xl/sharedStrings.xml" Id="R051768e0100c4a3c" /><Relationship Type="http://schemas.openxmlformats.org/officeDocument/2006/relationships/worksheet" Target="/xl/worksheets/sheet1.xml" Id="R193747f637a44d6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7" topLeftCell="A8" activePane="bottomLeft" state="frozen"/>
    </x:sheetView>
  </x:sheetViews>
  <x:sheetFormatPr defaultRowHeight="15"/>
  <x:cols>
    <x:col min="1" max="1" width="11" hidden="0" customWidth="1"/>
    <x:col min="2" max="2" width="23" hidden="0" customWidth="1"/>
    <x:col min="3" max="3" width="32" hidden="0" customWidth="1"/>
    <x:col min="4" max="4" width="42" hidden="0" customWidth="1"/>
    <x:col min="5" max="5" width="44" hidden="0" customWidth="1"/>
    <x:col min="6" max="6" width="44" hidden="0" customWidth="1"/>
    <x:col min="7" max="7" width="12" hidden="0" customWidth="1"/>
    <x:col min="8" max="8" width="26" hidden="0" customWidth="1"/>
  </x:cols>
  <x:sheetData>
    <x:row r="1" ht="30" customHeight="1">
      <x:c r="A1" s="1" t="str">
        <x:v>TEST CASE L01 — TRA CỨU BẢN ĐỒ GIAO THÔNG</x:v>
      </x:c>
    </x:row>
    <x:row r="2" ht="25" customHeight="1">
      <x:c r="A2" s="3" t="str">
        <x:v>UC-DEMO-01 · Nhóm 8 · 8 test case thủ công dùng cho tester</x:v>
      </x:c>
      <x:c r="B2" s="3"/>
      <x:c r="C2" s="3"/>
      <x:c r="D2" s="3"/>
      <x:c r="E2" s="3"/>
      <x:c r="F2" s="3"/>
      <x:c r="G2" s="3"/>
      <x:c r="H2" s="3"/>
    </x:row>
    <x:row r="3" ht="32" customHeight="1">
      <x:c r="A3" s="5" t="str">
        <x:v>Ngày chạy</x:v>
      </x:c>
      <x:c r="B3" s="6" t="n">
        <x:v>46295</x:v>
      </x:c>
      <x:c r="C3" s="5" t="str">
        <x:v>Môi trường</x:v>
      </x:c>
      <x:c r="D3" s="5" t="str">
        <x:v>Windows · Chrome · http://localhost:3000</x:v>
      </x:c>
      <x:c r="E3" s="5" t="str">
        <x:v>Người thực hiện</x:v>
      </x:c>
      <x:c r="F3" s="5" t="str">
        <x:v>Codex — thao tác và quan sát trên trình duyệt</x:v>
      </x:c>
      <x:c r="G3" s="5"/>
      <x:c r="H3" s="5"/>
    </x:row>
    <x:row r="4">
      <x:c r="A4" s="3"/>
      <x:c r="B4" s="3"/>
      <x:c r="C4" s="3"/>
      <x:c r="D4" s="3"/>
      <x:c r="E4" s="3"/>
      <x:c r="F4" s="3"/>
      <x:c r="G4" s="3"/>
      <x:c r="H4" s="3"/>
    </x:row>
    <x:row r="5" ht="25" customHeight="1">
      <x:c r="A5" s="3" t="str">
        <x:v>Tổng case</x:v>
      </x:c>
      <x:c r="B5" s="3" t="n">
        <x:f>COUNTA(A8:A15)</x:f>
        <x:v>8</x:v>
      </x:c>
      <x:c r="C5" s="3" t="str">
        <x:v>Pass (Đạt)</x:v>
      </x:c>
      <x:c r="D5" s="3" t="n">
        <x:f>COUNTIF(G8:G15,"Pass")</x:f>
        <x:v>8</x:v>
      </x:c>
      <x:c r="E5" s="3" t="str">
        <x:v>Fail (Không đạt)</x:v>
      </x:c>
      <x:c r="F5" s="3" t="n">
        <x:f>COUNTIF(G8:G15,"Fail")</x:f>
        <x:v>0</x:v>
      </x:c>
      <x:c r="G5" s="3" t="str">
        <x:v>Chưa chạy</x:v>
      </x:c>
      <x:c r="H5" s="3" t="n">
        <x:f>COUNTIF(G8:G15,"Not Run")</x:f>
        <x:v>0</x:v>
      </x:c>
    </x:row>
    <x:row r="6">
      <x:c r="A6" s="3"/>
      <x:c r="B6" s="3"/>
      <x:c r="C6" s="3"/>
      <x:c r="D6" s="3"/>
      <x:c r="E6" s="3"/>
      <x:c r="F6" s="3"/>
      <x:c r="G6" s="3"/>
      <x:c r="H6" s="3"/>
    </x:row>
    <x:row r="7" ht="36" customHeight="1">
      <x:c r="A7" s="10" t="str">
        <x:v>Mã TC</x:v>
      </x:c>
      <x:c r="B7" s="10" t="str">
        <x:v>Nội dung kiểm thử</x:v>
      </x:c>
      <x:c r="C7" s="10" t="str">
        <x:v>Tiền điều kiện / Dữ liệu</x:v>
      </x:c>
      <x:c r="D7" s="10" t="str">
        <x:v>Các bước thực hiện</x:v>
      </x:c>
      <x:c r="E7" s="10" t="str">
        <x:v>Kết quả mong đợi</x:v>
      </x:c>
      <x:c r="F7" s="10" t="str">
        <x:v>Kết quả thực tế</x:v>
      </x:c>
      <x:c r="G7" s="10" t="str">
        <x:v>Trạng thái</x:v>
      </x:c>
      <x:c r="H7" s="10" t="str">
        <x:v>Ghi chú / Mã lỗi</x:v>
      </x:c>
    </x:row>
    <x:row r="8" ht="140" customHeight="1">
      <x:c r="A8" s="16" t="str">
        <x:v>TC01</x:v>
      </x:c>
      <x:c r="B8" s="17" t="str">
        <x:v>Đăng nhập sai mật khẩu</x:v>
      </x:c>
      <x:c r="C8" s="17" t="str">
        <x:v>Chưa đăng nhập; mở http://localhost:3000.
Tài khoản: demo
Mật khẩu: Sai@123</x:v>
      </x:c>
      <x:c r="D8" s="17" t="str">
        <x:v>1. Nhập tên đăng nhập demo.
2. Nhập mật khẩu Sai@123.
3. Nhấn Đăng nhập.</x:v>
      </x:c>
      <x:c r="E8" s="17" t="str">
        <x:v>Hiển thị thông báo đăng nhập không thành công. Vẫn ở trang đăng nhập, không mở bản đồ.</x:v>
      </x:c>
      <x:c r="F8" s="17" t="str">
        <x:v>Hiện thông báo: “Tên đăng nhập hoặc mật khẩu không đúng, hoặc tài khoản đã bị khóa.” Không vào được bản đồ.</x:v>
      </x:c>
      <x:c r="G8" s="18" t="str">
        <x:v>Pass</x:v>
      </x:c>
      <x:c r="H8" s="17" t="str">
        <x:v>FR01 · UC đăng nhập dùng chung.</x:v>
      </x:c>
    </x:row>
    <x:row r="9" ht="140" customHeight="1">
      <x:c r="A9" s="19" t="str">
        <x:v>TC02</x:v>
      </x:c>
      <x:c r="B9" s="20" t="str">
        <x:v>Đăng nhập hợp lệ và tải bản đồ</x:v>
      </x:c>
      <x:c r="C9" s="20" t="str">
        <x:v>Chưa đăng nhập; máy chủ đang chạy.
Tài khoản: demo
Mật khẩu: Demo@123</x:v>
      </x:c>
      <x:c r="D9" s="20" t="str">
        <x:v>1. Nhấn Điền tài khoản hoặc nhập dữ liệu.
2. Nhấn Đăng nhập.
3. Chờ trang tải xong.
4. Nếu đã lưu bộ lọc cũ, nhấn Đặt lại.</x:v>
      </x:c>
      <x:c r="E9" s="20" t="str">
        <x:v>Vào trang Bản đồ giao thông. Mốc 08:00 ngày 30/09/2026 hiển thị đủ 10 đoạn đường và chú giải trạng thái.</x:v>
      </x:c>
      <x:c r="F9" s="20" t="str">
        <x:v>Đăng nhập thành công. Hiển thị “10 / 10 đoạn đường”, mốc 08:00 ngày 30/09/2026 và chú giải 6 trạng thái.</x:v>
      </x:c>
      <x:c r="G9" s="21" t="str">
        <x:v>Pass</x:v>
      </x:c>
      <x:c r="H9" s="20" t="str">
        <x:v>FR01, FR03 · Tài khoản demo công khai.</x:v>
      </x:c>
    </x:row>
    <x:row r="10" ht="140" customHeight="1">
      <x:c r="A10" s="16" t="str">
        <x:v>TC03</x:v>
      </x:c>
      <x:c r="B10" s="17" t="str">
        <x:v>Xem chi tiết đoạn đường</x:v>
      </x:c>
      <x:c r="C10" s="17" t="str">
        <x:v>Đã đăng nhập; nhấn Đặt lại và chờ tải xong.
Đoạn đường: Nguyễn Trãi (RD01)
Mốc: 08:00 · 30/09/2026</x:v>
      </x:c>
      <x:c r="D10" s="17" t="str">
        <x:v>1. Ở chế độ Bản đồ, chọn Nguyễn Trãi trong danh sách đoạn đường.
2. Đọc khung Chi tiết đoạn đường.
3. Đối chiếu tốc độ, lưu lượng, trạng thái, nguồn và thời điểm.</x:v>
      </x:c>
      <x:c r="E10" s="17" t="str">
        <x:v>RD01: tốc độ 12 km/h; 35 xe/5 phút; tham chiếu 50 km/h; tỷ lệ 0,24; 10/10 bản tin. Trạng thái Nguy cơ ùn tắc. Nguồn SIM-IOT-01; quan trắc 07:59:30, hệ thống nhận 07:59:35.</x:v>
      </x:c>
      <x:c r="F10" s="17" t="str">
        <x:v>Khung chi tiết hiển thị đúng RD01, 12 km/h, 35 xe, tham chiếu 50 km/h, tỷ lệ 0.24 và 10/10. Trạng thái, nguồn, giờ quan trắc và giờ nhận khớp mong đợi.</x:v>
      </x:c>
      <x:c r="G10" s="18" t="str">
        <x:v>Pass</x:v>
      </x:c>
      <x:c r="H10" s="17" t="str">
        <x:v>FR03, FR05 · Dấu chấm trong tỷ lệ là định dạng giao diện.</x:v>
      </x:c>
    </x:row>
    <x:row r="11" ht="140" customHeight="1">
      <x:c r="A11" s="19" t="str">
        <x:v>TC04</x:v>
      </x:c>
      <x:c r="B11" s="20" t="str">
        <x:v>Lọc trạng thái và chuyển sang bảng</x:v>
      </x:c>
      <x:c r="C11" s="20" t="str">
        <x:v>Đã đăng nhập; nhấn Đặt lại, chờ “10 / 10 đoạn đường”.
Mốc: 08:00 · 30/09/2026
Trạng thái: Thông thoáng</x:v>
      </x:c>
      <x:c r="D11" s="20" t="str">
        <x:v>1. Chọn trạng thái Thông thoáng.
2. Nhấn Áp dụng bộ lọc, chờ tải xong.
3. Kiểm tra số kết quả.
4. Chuyển sang Bảng dữ liệu.</x:v>
      </x:c>
      <x:c r="E11" s="20" t="str">
        <x:v>Có 4/10 đoạn: Trần Phú, Quang Trung, Lê Văn Lương, Nguyễn Xiển. Bảng giữ nguyên bộ lọc; tốc độ lần lượt 36, 28, 39, 32 km/h.</x:v>
      </x:c>
      <x:c r="F11" s="20" t="str">
        <x:v>Hiển thị đúng 4 đoạn và tốc độ 36 / 28 / 39 / 32 km/h. Sau khi chuyển sang bảng, trạng thái lọc và tập kết quả được giữ nguyên.</x:v>
      </x:c>
      <x:c r="G11" s="21" t="str">
        <x:v>Pass</x:v>
      </x:c>
      <x:c r="H11" s="20" t="str">
        <x:v>FR03 · Chỉ thao tác khi trang đã tải xong.</x:v>
      </x:c>
    </x:row>
    <x:row r="12" ht="140" customHeight="1">
      <x:c r="A12" s="16" t="str">
        <x:v>TC05</x:v>
      </x:c>
      <x:c r="B12" s="17" t="str">
        <x:v>Tìm tên không dấu và xem lịch sử</x:v>
      </x:c>
      <x:c r="C12" s="17" t="str">
        <x:v>Đã đăng nhập.
Từ khóa: nguyen trai
Trạng thái: Tất cả trạng thái
Mốc: 07:50 · 30/09/2026</x:v>
      </x:c>
      <x:c r="D12" s="17" t="str">
        <x:v>1. Nhập nguyen trai vào ô tìm.
2. Chọn Tất cả trạng thái.
3. Chọn mốc 07:50 · 30/09/2026.
4. Nhấn Áp dụng bộ lọc.
5. Mở Bảng dữ liệu và đối chiếu.</x:v>
      </x:c>
      <x:c r="E12" s="17" t="str">
        <x:v>Chỉ có Nguyễn Trãi (RD01). Tốc độ lịch sử 34 km/h, 53 xe/5 phút; trạng thái Thông thoáng; quan trắc lúc 07:49:30.</x:v>
      </x:c>
      <x:c r="F12" s="17" t="str">
        <x:v>Bảng trả về duy nhất Nguyễn Trãi; 34 km/h; 53 xe; Thông thoáng; 07:49:30. Tìm kiếm không dấu hoạt động.</x:v>
      </x:c>
      <x:c r="G12" s="18" t="str">
        <x:v>Pass</x:v>
      </x:c>
      <x:c r="H12" s="17" t="str">
        <x:v>FR03, FR05 · Dữ liệu lịch sử cố định.</x:v>
      </x:c>
    </x:row>
    <x:row r="13" ht="140" customHeight="1">
      <x:c r="A13" s="19" t="str">
        <x:v>TC06</x:v>
      </x:c>
      <x:c r="B13" s="20" t="str">
        <x:v>Hiển thị dữ liệu mất cập nhật</x:v>
      </x:c>
      <x:c r="C13" s="20" t="str">
        <x:v>Đã đăng nhập; nhấn Đặt lại và chờ tải xong.
Đoạn: Vũ Trọng Phụng (RD08)
Mốc: 08:00 · 30/09/2026</x:v>
      </x:c>
      <x:c r="D13" s="20" t="str">
        <x:v>1. Chọn Vũ Trọng Phụng trong danh sách.
2. Xem trạng thái và giờ quan trắc.
3. Kiểm tra tốc độ, số xe và phần Chất lượng dữ liệu.</x:v>
      </x:c>
      <x:c r="E13" s="20" t="str">
        <x:v>Trạng thái Mất cập nhật. Quan trắc 07:52:00, quá 120 giây so với mốc xem. Tốc độ và số xe hiện “—”, không phải 0; có giải thích dữ liệu cũ.</x:v>
      </x:c>
      <x:c r="F13" s="20" t="str">
        <x:v>Hiển thị Mất cập nhật; 07:52:00; tốc độ và số xe đều “—”. Có thông báo bản tin quá 120 giây và không dùng để kết luận hiện tại.</x:v>
      </x:c>
      <x:c r="G13" s="21" t="str">
        <x:v>Pass</x:v>
      </x:c>
      <x:c r="H13" s="20" t="str">
        <x:v>FR03, FR05 · Độ cũ so với mốc mô phỏng đang xem.</x:v>
      </x:c>
    </x:row>
    <x:row r="14" ht="140" customHeight="1">
      <x:c r="A14" s="16" t="str">
        <x:v>TC07</x:v>
      </x:c>
      <x:c r="B14" s="17" t="str">
        <x:v>Tra cứu mốc chưa có quan trắc</x:v>
      </x:c>
      <x:c r="C14" s="17" t="str">
        <x:v>Đã đăng nhập; xóa từ khóa, chọn Tất cả trạng thái.
Mốc: 08:00 · 29/09/2026 — chưa có dữ liệu</x:v>
      </x:c>
      <x:c r="D14" s="17" t="str">
        <x:v>1. Chọn mốc 08:00 · 29/09/2026.
2. Nhấn Áp dụng bộ lọc.
3. Đọc thông báo.
4. Mở Bảng dữ liệu và kiểm tra các dòng.</x:v>
      </x:c>
      <x:c r="E14" s="17" t="str">
        <x:v>Thông báo không có dữ liệu tại mốc chọn, nêu mốc có dữ liệu gần nhất trong bộ mẫu. Vẫn liệt kê 10 đoạn đường; trạng thái Chưa quan trắc, tốc độ/số xe/giờ quan trắc đều “—”.</x:v>
      </x:c>
      <x:c r="F14" s="17" t="str">
        <x:v>Thông báo nêu mốc dữ liệu gần nhất 08:00:00 ngày 30/09/2026. Bảng vẫn có 10 đoạn, tất cả Chưa quan trắc; các thông số quan trắc đều “—”.</x:v>
      </x:c>
      <x:c r="G14" s="18" t="str">
        <x:v>Pass</x:v>
      </x:c>
      <x:c r="H14" s="17" t="str">
        <x:v>FR03 · Mốc gần nhất trong bộ mẫu có thể sau ngày đang tra cứu.</x:v>
      </x:c>
    </x:row>
    <x:row r="15" ht="140" customHeight="1">
      <x:c r="A15" s="19" t="str">
        <x:v>TC08</x:v>
      </x:c>
      <x:c r="B15" s="20" t="str">
        <x:v>Đăng xuất và tải lại trang</x:v>
      </x:c>
      <x:c r="C15" s="20" t="str">
        <x:v>Đã đăng nhập.
URL: http://localhost:3000</x:v>
      </x:c>
      <x:c r="D15" s="20" t="str">
        <x:v>1. Nhấn Đăng xuất.
2. Kiểm tra trang đăng nhập xuất hiện.
3. Tải lại trang bằng F5.
4. Kiểm tra không tự vào lại bản đồ.</x:v>
      </x:c>
      <x:c r="E15" s="20" t="str">
        <x:v>Trở về trang đăng nhập. Tải lại vẫn yêu cầu đăng nhập, không tự khôi phục phiên đã đăng xuất.</x:v>
      </x:c>
      <x:c r="F15" s="20" t="str">
        <x:v>Đã về trang đăng nhập. Sau khi tải lại trang, nút Đăng nhập vẫn hiển thị và không mở được bản đồ khi chưa đăng nhập lại.</x:v>
      </x:c>
      <x:c r="G15" s="21" t="str">
        <x:v>Pass</x:v>
      </x:c>
      <x:c r="H15" s="20" t="str">
        <x:v>FR01 · Kiểm tra qua giao diện trình duyệt.</x:v>
      </x:c>
    </x:row>
    <x:row r="16">
      <x:c r="A16" s="3"/>
      <x:c r="B16" s="3"/>
      <x:c r="C16" s="3"/>
      <x:c r="D16" s="3"/>
      <x:c r="E16" s="3"/>
      <x:c r="F16" s="3"/>
      <x:c r="G16" s="3"/>
      <x:c r="H16" s="3"/>
    </x:row>
    <x:row r="17">
      <x:c r="A17" s="22" t="str">
        <x:v>HƯỚNG DẪN CHO TESTER</x:v>
      </x:c>
      <x:c r="B17" s="3"/>
      <x:c r="C17" s="3"/>
      <x:c r="D17" s="3"/>
      <x:c r="E17" s="3"/>
      <x:c r="F17" s="3"/>
      <x:c r="G17" s="3"/>
      <x:c r="H17" s="3"/>
    </x:row>
    <x:row r="18" ht="24" customHeight="1">
      <x:c r="A18" s="3" t="str">
        <x:v>Chuẩn bị: máy chủ demo đang chạy; mở http://localhost:3000 trên Chrome. Dùng tài khoản demo / Demo@123. Chờ tải xong trước mỗi bước kiểm tra.</x:v>
      </x:c>
      <x:c r="B18" s="3"/>
      <x:c r="C18" s="3"/>
      <x:c r="D18" s="3"/>
      <x:c r="E18" s="3"/>
      <x:c r="F18" s="3"/>
      <x:c r="G18" s="3"/>
      <x:c r="H18" s="3"/>
    </x:row>
    <x:row r="19" ht="24" customHeight="1">
      <x:c r="A19" s="3" t="str">
        <x:v>Chạy TC01–TC08 theo thứ tự hoặc tự thiết lập đúng tiền điều kiện. TC03–TC07: chọn Đặt lại trước khi thiết lập bộ lọc riêng của từng case.</x:v>
      </x:c>
      <x:c r="B19" s="3"/>
      <x:c r="C19" s="3"/>
      <x:c r="D19" s="3"/>
      <x:c r="E19" s="3"/>
      <x:c r="F19" s="3"/>
      <x:c r="G19" s="3"/>
      <x:c r="H19" s="3"/>
    </x:row>
    <x:row r="20" ht="24" customHeight="1">
      <x:c r="A20" s="3" t="str">
        <x:v>Khi chạy lại: cập nhật ngày chạy, người thực hiện, kết quả thực tế và trạng thái. Nếu Fail, ghi mã lỗi hoặc mô tả sai khác ở cột Ghi chú / Mã lỗi.</x:v>
      </x:c>
      <x:c r="B20" s="3"/>
      <x:c r="C20" s="3"/>
      <x:c r="D20" s="3"/>
      <x:c r="E20" s="3"/>
      <x:c r="F20" s="3"/>
      <x:c r="G20" s="3"/>
      <x:c r="H20" s="3"/>
    </x:row>
    <x:row r="21" ht="24" customHeight="1">
      <x:c r="A21" s="3" t="str">
        <x:v>Quy ước: Pass = khớp mong đợi; Fail = có sai khác; Blocked = chưa thể kiểm tra do trở ngại; Not Run = chưa chạy. Kết quả hiện tại là lần chạy của Codex, không phải xác nhận của tester khác.</x:v>
      </x:c>
      <x:c r="B21" s="3"/>
      <x:c r="C21" s="3"/>
      <x:c r="D21" s="3"/>
      <x:c r="E21" s="3"/>
      <x:c r="F21" s="3"/>
      <x:c r="G21" s="3"/>
      <x:c r="H21" s="3"/>
    </x:row>
    <x:row r="22" ht="24" customHeight="1">
      <x:c r="A22" s="3" t="str">
        <x:v>Nguồn: HUONG_DAN_L01.md; đặc tả UC-DEMO-01; dữ liệu mẫu của demo và kết quả quan sát trực tiếp trên trình duyệt ngày 30/09/2026. Chỉ đánh giá 8 case trong file.</x:v>
      </x:c>
      <x:c r="B22" s="3"/>
      <x:c r="C22" s="3"/>
      <x:c r="D22" s="3"/>
      <x:c r="E22" s="3"/>
      <x:c r="F22" s="3"/>
      <x:c r="G22" s="3"/>
      <x:c r="H22" s="3"/>
    </x:row>
  </x:sheetData>
  <x:conditionalFormatting sqref="G8:G15">
    <x:cfRule type="containsText" dxfId="0" priority="1" operator="containsText" text="Pass"/>
    <x:cfRule type="containsText" dxfId="1" priority="2" operator="containsText" text="Fail"/>
    <x:cfRule type="containsText" dxfId="2" priority="3" operator="containsText" text="Blocked"/>
    <x:cfRule type="containsText" dxfId="3" priority="4" operator="containsText" text="Not Run"/>
  </x:conditionalFormatting>
  <x:dataValidations count="1">
    <x:dataValidation type="list" sqref="G8:G15">
      <x:formula1>"Pass,Fail,Blocked,Not Run"</x:formula1>
    </x:dataValidation>
  </x:dataValidations>
  <x:pageMargins left="0.7" right="0.7" top="0.75" bottom="0.75" header="0.3" footer="0.3"/>
</x:worksheet>
</file>